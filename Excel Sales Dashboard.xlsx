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shahf\Documents\"/>
    </mc:Choice>
  </mc:AlternateContent>
  <xr:revisionPtr revIDLastSave="0" documentId="13_ncr:1_{EAAC661F-B6D8-4A93-BA1B-0754EC73FC45}" xr6:coauthVersionLast="47" xr6:coauthVersionMax="47" xr10:uidLastSave="{00000000-0000-0000-0000-000000000000}"/>
  <bookViews>
    <workbookView xWindow="-108" yWindow="-108" windowWidth="23256" windowHeight="13176" firstSheet="1" activeTab="3" xr2:uid="{00000000-000D-0000-FFFF-FFFF00000000}"/>
  </bookViews>
  <sheets>
    <sheet name="bike_buyers" sheetId="1" r:id="rId1"/>
    <sheet name="Working Sheet" sheetId="3" r:id="rId2"/>
    <sheet name="Pivot Table" sheetId="4"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8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3" i="4" l="1"/>
  <c r="D123" i="4" s="1"/>
  <c r="C123" i="4"/>
  <c r="A123" i="4"/>
  <c r="M974" i="3"/>
  <c r="M973"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<sst xmlns="http://schemas.openxmlformats.org/spreadsheetml/2006/main" count="16285" uniqueCount="57">
  <si>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</si>
  <si>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</si>
  <si>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</si>
  <si>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</si>
  <si>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</si>
  <si>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</si>
  <si>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</si>
  <si>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</si>
  <si>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</si>
  <si>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</si>
  <si>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</si>
  <si>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</si>
  <si>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</si>
  <si>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</si>
  <si>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</si>
  <si>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</si>
  <si>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</si>
  <si>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</si>
  <si>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</si>
  <si>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</si>
  <si>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</si>
  <si>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</si>
  <si>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</si>
  <si>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</si>
  <si>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</si>
  <si>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</si>
  <si>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</si>
  <si>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</si>
  <si>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</si>
  <si>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</si>
  <si>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</si>
  <si>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</si>
  <si>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</si>
  <si>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</si>
  <si>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</si>
  <si>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</si>
  <si>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</si>
  <si>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</si>
  <si>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</si>
  <si>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</si>
  <si>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</si>
  <si>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</si>
  <si>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</si>
  <si>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Average of Income</t>
  </si>
  <si>
    <t>Column Labels</t>
  </si>
  <si>
    <t>Count of Purchased Bike</t>
  </si>
  <si>
    <t>Middle Age</t>
  </si>
  <si>
    <t>More Than 10 Miles</t>
  </si>
  <si>
    <t>Bike Sales Dashboard</t>
  </si>
  <si>
    <t>Count of Gender</t>
  </si>
  <si>
    <t>Total Customers</t>
  </si>
  <si>
    <t>Bikes Purchased</t>
  </si>
  <si>
    <t>Purchased Rate</t>
  </si>
  <si>
    <t>Average Income</t>
  </si>
  <si>
    <t>Adolescent</t>
  </si>
  <si>
    <t>Old</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</si>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</sst>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409]#,##0.00"/>
    <numFmt numFmtId="172" formatCode="[$$-409]#,##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2"/>
      <name val="Calibri"/>
      <family val="2"/>
      <scheme val="minor"/>
    </font>
    <font>
      <b/>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6" fillId="0" borderId="0" xfId="0" applyFont="1"/>
    <xf numFmtId="0" fontId="19" fillId="33" borderId="0" xfId="0" applyFont="1" applyFill="1" applyAlignment="1">
      <alignment horizontal="center"/>
    </xf>
    <xf numFmtId="0" fontId="20" fillId="0" borderId="0" xfId="0" applyFont="1" applyAlignment="1">
      <alignment horizontal="center" vertical="center"/>
    </xf>
    <xf numFmtId="10" fontId="0" fillId="0" borderId="0" xfId="42" applyNumberFormat="1" applyFont="1"/>
    <xf numFmtId="0" fontId="0" fillId="0" borderId="0" xfId="0" applyNumberFormat="1"/>
    <xf numFmtId="17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595C-47D2-869A-6FE00D192FA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595C-47D2-869A-6FE00D192FA8}"/>
            </c:ext>
          </c:extLst>
        </c:ser>
        <c:dLbls>
          <c:showLegendKey val="0"/>
          <c:showVal val="0"/>
          <c:showCatName val="0"/>
          <c:showSerName val="0"/>
          <c:showPercent val="0"/>
          <c:showBubbleSize val="0"/>
        </c:dLbls>
        <c:gapWidth val="219"/>
        <c:overlap val="-27"/>
        <c:axId val="2025151375"/>
        <c:axId val="1730006063"/>
      </c:barChart>
      <c:catAx>
        <c:axId val="202515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006063"/>
        <c:crossesAt val="50000"/>
        <c:auto val="1"/>
        <c:lblAlgn val="ctr"/>
        <c:lblOffset val="100"/>
        <c:noMultiLvlLbl val="0"/>
      </c:catAx>
      <c:valAx>
        <c:axId val="1730006063"/>
        <c:scaling>
          <c:orientation val="minMax"/>
        </c:scaling>
        <c:delete val="0"/>
        <c:axPos val="l"/>
        <c:majorGridlines>
          <c:spPr>
            <a:ln w="9525" cap="flat" cmpd="sng" algn="ctr">
              <a:gradFill>
                <a:gsLst>
                  <a:gs pos="0">
                    <a:schemeClr val="accent1">
                      <a:lumMod val="5000"/>
                      <a:lumOff val="95000"/>
                    </a:schemeClr>
                  </a:gs>
                  <a:gs pos="92316">
                    <a:srgbClr val="BACCE9"/>
                  </a:gs>
                  <a:gs pos="74000">
                    <a:schemeClr val="accent1">
                      <a:lumMod val="45000"/>
                      <a:lumOff val="55000"/>
                      <a:alpha val="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51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308-4C9C-8F05-566C498C62DB}"/>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308-4C9C-8F05-566C498C62DB}"/>
            </c:ext>
          </c:extLst>
        </c:ser>
        <c:dLbls>
          <c:showLegendKey val="0"/>
          <c:showVal val="0"/>
          <c:showCatName val="0"/>
          <c:showSerName val="0"/>
          <c:showPercent val="0"/>
          <c:showBubbleSize val="0"/>
        </c:dLbls>
        <c:smooth val="0"/>
        <c:axId val="150911711"/>
        <c:axId val="118992463"/>
      </c:lineChart>
      <c:catAx>
        <c:axId val="150911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92463"/>
        <c:crosses val="autoZero"/>
        <c:auto val="1"/>
        <c:lblAlgn val="ctr"/>
        <c:lblOffset val="100"/>
        <c:noMultiLvlLbl val="0"/>
      </c:catAx>
      <c:valAx>
        <c:axId val="11899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DBA8-4694-864A-B8240398BD3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DBA8-4694-864A-B8240398BD3B}"/>
            </c:ext>
          </c:extLst>
        </c:ser>
        <c:dLbls>
          <c:showLegendKey val="0"/>
          <c:showVal val="0"/>
          <c:showCatName val="0"/>
          <c:showSerName val="0"/>
          <c:showPercent val="0"/>
          <c:showBubbleSize val="0"/>
        </c:dLbls>
        <c:marker val="1"/>
        <c:smooth val="0"/>
        <c:axId val="257916895"/>
        <c:axId val="1729989743"/>
      </c:lineChart>
      <c:catAx>
        <c:axId val="257916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989743"/>
        <c:crosses val="autoZero"/>
        <c:auto val="1"/>
        <c:lblAlgn val="ctr"/>
        <c:lblOffset val="100"/>
        <c:noMultiLvlLbl val="0"/>
      </c:catAx>
      <c:valAx>
        <c:axId val="172998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91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179E-4335-9E4E-D325FFF2EB56}"/>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179E-4335-9E4E-D325FFF2EB56}"/>
            </c:ext>
          </c:extLst>
        </c:ser>
        <c:dLbls>
          <c:showLegendKey val="0"/>
          <c:showVal val="0"/>
          <c:showCatName val="0"/>
          <c:showSerName val="0"/>
          <c:showPercent val="0"/>
          <c:showBubbleSize val="0"/>
        </c:dLbls>
        <c:smooth val="0"/>
        <c:axId val="256502127"/>
        <c:axId val="1729924943"/>
      </c:lineChart>
      <c:catAx>
        <c:axId val="256502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924943"/>
        <c:crosses val="autoZero"/>
        <c:auto val="1"/>
        <c:lblAlgn val="ctr"/>
        <c:lblOffset val="100"/>
        <c:noMultiLvlLbl val="0"/>
      </c:catAx>
      <c:valAx>
        <c:axId val="1729924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502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Average Income by Purchase Decision</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EB10-473F-87C1-F6E6EAE017C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EB10-473F-87C1-F6E6EAE017C3}"/>
            </c:ext>
          </c:extLst>
        </c:ser>
        <c:dLbls>
          <c:showLegendKey val="0"/>
          <c:showVal val="0"/>
          <c:showCatName val="0"/>
          <c:showSerName val="0"/>
          <c:showPercent val="0"/>
          <c:showBubbleSize val="0"/>
        </c:dLbls>
        <c:gapWidth val="219"/>
        <c:overlap val="-27"/>
        <c:axId val="2025151375"/>
        <c:axId val="1730006063"/>
      </c:barChart>
      <c:catAx>
        <c:axId val="2025151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0006063"/>
        <c:crossesAt val="50000"/>
        <c:auto val="1"/>
        <c:lblAlgn val="ctr"/>
        <c:lblOffset val="100"/>
        <c:noMultiLvlLbl val="0"/>
      </c:catAx>
      <c:valAx>
        <c:axId val="1730006063"/>
        <c:scaling>
          <c:orientation val="minMax"/>
        </c:scaling>
        <c:delete val="0"/>
        <c:axPos val="l"/>
        <c:majorGridlines>
          <c:spPr>
            <a:ln w="9525" cap="flat" cmpd="sng" algn="ctr">
              <a:gradFill>
                <a:gsLst>
                  <a:gs pos="0">
                    <a:schemeClr val="accent1">
                      <a:lumMod val="5000"/>
                      <a:lumOff val="95000"/>
                    </a:schemeClr>
                  </a:gs>
                  <a:gs pos="92316">
                    <a:srgbClr val="BACCE9"/>
                  </a:gs>
                  <a:gs pos="74000">
                    <a:schemeClr val="accent1">
                      <a:lumMod val="45000"/>
                      <a:lumOff val="55000"/>
                      <a:alpha val="0"/>
                    </a:schemeClr>
                  </a:gs>
                  <a:gs pos="83000">
                    <a:schemeClr val="accent1">
                      <a:lumMod val="45000"/>
                      <a:lumOff val="55000"/>
                    </a:schemeClr>
                  </a:gs>
                  <a:gs pos="100000">
                    <a:schemeClr val="accent1">
                      <a:lumMod val="30000"/>
                      <a:lumOff val="70000"/>
                    </a:schemeClr>
                  </a:gs>
                </a:gsLst>
                <a:lin ang="5400000" scaled="1"/>
              </a:gra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1513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Bike Purchases by Commute Distance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0AB-4D76-BA60-6CEBEAF86062}"/>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90AB-4D76-BA60-6CEBEAF86062}"/>
            </c:ext>
          </c:extLst>
        </c:ser>
        <c:dLbls>
          <c:showLegendKey val="0"/>
          <c:showVal val="0"/>
          <c:showCatName val="0"/>
          <c:showSerName val="0"/>
          <c:showPercent val="0"/>
          <c:showBubbleSize val="0"/>
        </c:dLbls>
        <c:smooth val="0"/>
        <c:axId val="150911711"/>
        <c:axId val="118992463"/>
      </c:lineChart>
      <c:catAx>
        <c:axId val="150911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92463"/>
        <c:crosses val="autoZero"/>
        <c:auto val="1"/>
        <c:lblAlgn val="ctr"/>
        <c:lblOffset val="100"/>
        <c:noMultiLvlLbl val="0"/>
      </c:catAx>
      <c:valAx>
        <c:axId val="1189924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Bike Purchases by Age Group</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 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952C-47F5-835D-620CAEFE1736}"/>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 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952C-47F5-835D-620CAEFE1736}"/>
            </c:ext>
          </c:extLst>
        </c:ser>
        <c:dLbls>
          <c:showLegendKey val="0"/>
          <c:showVal val="0"/>
          <c:showCatName val="0"/>
          <c:showSerName val="0"/>
          <c:showPercent val="0"/>
          <c:showBubbleSize val="0"/>
        </c:dLbls>
        <c:marker val="1"/>
        <c:smooth val="0"/>
        <c:axId val="257916895"/>
        <c:axId val="1729989743"/>
      </c:lineChart>
      <c:catAx>
        <c:axId val="257916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989743"/>
        <c:crosses val="autoZero"/>
        <c:auto val="1"/>
        <c:lblAlgn val="ctr"/>
        <c:lblOffset val="100"/>
        <c:noMultiLvlLbl val="0"/>
      </c:catAx>
      <c:valAx>
        <c:axId val="1729989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916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213366</xdr:colOff>
      <xdr:row>0</xdr:row>
      <xdr:rowOff>102870</xdr:rowOff>
    </xdr:from>
    <xdr:to>
      <xdr:col>10</xdr:col>
      <xdr:colOff>579120</xdr:colOff>
      <xdr:row>14</xdr:row>
      <xdr:rowOff>30480</xdr:rowOff>
    </xdr:to>
    <xdr:graphicFrame macro="">
      <xdr:nvGraphicFramePr>
        <xdr:cNvPr id="2" name="Chart 1">
          <a:extLst>
            <a:ext uri="{FF2B5EF4-FFF2-40B4-BE49-F238E27FC236}">
              <a16:creationId xmlns:a16="http://schemas.microsoft.com/office/drawing/2014/main" id="{DF34BB37-5CED-EBC1-B469-BB2DEA4C0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194310</xdr:colOff>
      <xdr:row>16</xdr:row>
      <xdr:rowOff>179070</xdr:rowOff>
    </xdr:from>
    <xdr:to>
      <xdr:col>10</xdr:col>
      <xdr:colOff>563880</xdr:colOff>
      <xdr:row>29</xdr:row>
      <xdr:rowOff>137160</xdr:rowOff>
    </xdr:to>
    <xdr:graphicFrame macro="">
      <xdr:nvGraphicFramePr>
        <xdr:cNvPr id="3" name="Chart 2">
          <a:extLst>
            <a:ext uri="{FF2B5EF4-FFF2-40B4-BE49-F238E27FC236}">
              <a16:creationId xmlns:a16="http://schemas.microsoft.com/office/drawing/2014/main" id="{C1F75AD6-2980-A9A3-F430-F4885357F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148590</xdr:colOff>
      <xdr:row>39</xdr:row>
      <xdr:rowOff>118110</xdr:rowOff>
    </xdr:from>
    <xdr:to>
      <xdr:col>10</xdr:col>
      <xdr:colOff>563880</xdr:colOff>
      <xdr:row>53</xdr:row>
      <xdr:rowOff>99060</xdr:rowOff>
    </xdr:to>
    <xdr:graphicFrame macro="">
      <xdr:nvGraphicFramePr>
        <xdr:cNvPr id="4" name="Chart 3">
          <a:extLst>
            <a:ext uri="{FF2B5EF4-FFF2-40B4-BE49-F238E27FC236}">
              <a16:creationId xmlns:a16="http://schemas.microsoft.com/office/drawing/2014/main" id="{8BD608FF-A63A-E8CA-D1B5-F97115915F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102870</xdr:colOff>
      <xdr:row>57</xdr:row>
      <xdr:rowOff>95250</xdr:rowOff>
    </xdr:from>
    <xdr:to>
      <xdr:col>10</xdr:col>
      <xdr:colOff>403860</xdr:colOff>
      <xdr:row>73</xdr:row>
      <xdr:rowOff>22860</xdr:rowOff>
    </xdr:to>
    <xdr:graphicFrame macro="">
      <xdr:nvGraphicFramePr>
        <xdr:cNvPr id="5" name="Chart 4">
          <a:extLst>
            <a:ext uri="{FF2B5EF4-FFF2-40B4-BE49-F238E27FC236}">
              <a16:creationId xmlns:a16="http://schemas.microsoft.com/office/drawing/2014/main" id="{3E106D01-CD2E-ABAD-3929-F1D28DA631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599905</xdr:colOff>
      <xdr:row>9</xdr:row>
      <xdr:rowOff>153559</xdr:rowOff>
    </xdr:from>
    <xdr:to>
      <xdr:col>9</xdr:col>
      <xdr:colOff>493690</xdr:colOff>
      <xdr:row>24</xdr:row>
      <xdr:rowOff>96591</xdr:rowOff>
    </xdr:to>
    <xdr:graphicFrame macro="">
      <xdr:nvGraphicFramePr>
        <xdr:cNvPr id="2" name="Chart 1">
          <a:extLst>
            <a:ext uri="{FF2B5EF4-FFF2-40B4-BE49-F238E27FC236}">
              <a16:creationId xmlns:a16="http://schemas.microsoft.com/office/drawing/2014/main" id="{851C6ECC-E8C2-4BE2-AD64-394A558E5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2490</xdr:colOff>
      <xdr:row>24</xdr:row>
      <xdr:rowOff>156674</xdr:rowOff>
    </xdr:from>
    <xdr:to>
      <xdr:col>16</xdr:col>
      <xdr:colOff>579549</xdr:colOff>
      <xdr:row>39</xdr:row>
      <xdr:rowOff>21638</xdr:rowOff>
    </xdr:to>
    <xdr:graphicFrame macro="">
      <xdr:nvGraphicFramePr>
        <xdr:cNvPr id="3" name="Chart 2">
          <a:extLst>
            <a:ext uri="{FF2B5EF4-FFF2-40B4-BE49-F238E27FC236}">
              <a16:creationId xmlns:a16="http://schemas.microsoft.com/office/drawing/2014/main" id="{8A1659D8-8161-43A2-B29F-70CCAAB1A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558085</xdr:colOff>
      <xdr:row>9</xdr:row>
      <xdr:rowOff>126644</xdr:rowOff>
    </xdr:from>
    <xdr:to>
      <xdr:col>16</xdr:col>
      <xdr:colOff>558084</xdr:colOff>
      <xdr:row>24</xdr:row>
      <xdr:rowOff>85859</xdr:rowOff>
    </xdr:to>
    <xdr:graphicFrame macro="">
      <xdr:nvGraphicFramePr>
        <xdr:cNvPr id="4" name="Chart 3">
          <a:extLst>
            <a:ext uri="{FF2B5EF4-FFF2-40B4-BE49-F238E27FC236}">
              <a16:creationId xmlns:a16="http://schemas.microsoft.com/office/drawing/2014/main" id="{E553F572-FA3B-4F4D-BEE6-598B162296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76442</xdr:rowOff>
    </xdr:from>
    <xdr:to>
      <xdr:col>2</xdr:col>
      <xdr:colOff>387047</xdr:colOff>
      <xdr:row>9</xdr:row>
      <xdr:rowOff>24190</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B743D54F-72AD-5A0A-F39E-DCE2BEE62B2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802156"/>
              <a:ext cx="1596571" cy="8548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27939</xdr:colOff>
      <xdr:row>15</xdr:row>
      <xdr:rowOff>144175</xdr:rowOff>
    </xdr:from>
    <xdr:to>
      <xdr:col>2</xdr:col>
      <xdr:colOff>423332</xdr:colOff>
      <xdr:row>25</xdr:row>
      <xdr:rowOff>72571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1746F9B0-88AB-72A5-900D-A2549587E22B}"/>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27939" y="2865604"/>
              <a:ext cx="1604917" cy="1742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55760</xdr:rowOff>
    </xdr:from>
    <xdr:to>
      <xdr:col>2</xdr:col>
      <xdr:colOff>399142</xdr:colOff>
      <xdr:row>15</xdr:row>
      <xdr:rowOff>72571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BEA66C5-0791-D522-2BFC-8831C288E01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688617"/>
              <a:ext cx="1608666" cy="1105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601014</xdr:colOff>
      <xdr:row>4</xdr:row>
      <xdr:rowOff>118056</xdr:rowOff>
    </xdr:from>
    <xdr:to>
      <xdr:col>6</xdr:col>
      <xdr:colOff>150253</xdr:colOff>
      <xdr:row>9</xdr:row>
      <xdr:rowOff>96592</xdr:rowOff>
    </xdr:to>
    <xdr:sp macro="" textlink="">
      <xdr:nvSpPr>
        <xdr:cNvPr id="5" name="Rectangle: Rounded Corners 4">
          <a:extLst>
            <a:ext uri="{FF2B5EF4-FFF2-40B4-BE49-F238E27FC236}">
              <a16:creationId xmlns:a16="http://schemas.microsoft.com/office/drawing/2014/main" id="{07432864-5261-25B5-AB42-5BBA818E1FA4}"/>
            </a:ext>
          </a:extLst>
        </xdr:cNvPr>
        <xdr:cNvSpPr/>
      </xdr:nvSpPr>
      <xdr:spPr>
        <a:xfrm>
          <a:off x="1824507" y="847859"/>
          <a:ext cx="1996225" cy="890789"/>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193183</xdr:colOff>
      <xdr:row>4</xdr:row>
      <xdr:rowOff>118056</xdr:rowOff>
    </xdr:from>
    <xdr:to>
      <xdr:col>9</xdr:col>
      <xdr:colOff>536620</xdr:colOff>
      <xdr:row>9</xdr:row>
      <xdr:rowOff>85859</xdr:rowOff>
    </xdr:to>
    <xdr:sp macro="" textlink="">
      <xdr:nvSpPr>
        <xdr:cNvPr id="9" name="Rectangle: Rounded Corners 8">
          <a:extLst>
            <a:ext uri="{FF2B5EF4-FFF2-40B4-BE49-F238E27FC236}">
              <a16:creationId xmlns:a16="http://schemas.microsoft.com/office/drawing/2014/main" id="{E2FD48A9-EB59-4977-AC68-60C5CFF9C467}"/>
            </a:ext>
          </a:extLst>
        </xdr:cNvPr>
        <xdr:cNvSpPr/>
      </xdr:nvSpPr>
      <xdr:spPr>
        <a:xfrm>
          <a:off x="3863662" y="847859"/>
          <a:ext cx="2178676" cy="880056"/>
        </a:xfrm>
        <a:prstGeom prst="round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endParaRPr lang="en-IN" sz="16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9</xdr:col>
      <xdr:colOff>583844</xdr:colOff>
      <xdr:row>4</xdr:row>
      <xdr:rowOff>111617</xdr:rowOff>
    </xdr:from>
    <xdr:to>
      <xdr:col>13</xdr:col>
      <xdr:colOff>225382</xdr:colOff>
      <xdr:row>9</xdr:row>
      <xdr:rowOff>53662</xdr:rowOff>
    </xdr:to>
    <xdr:sp macro="" textlink="">
      <xdr:nvSpPr>
        <xdr:cNvPr id="10" name="Rectangle: Rounded Corners 9">
          <a:extLst>
            <a:ext uri="{FF2B5EF4-FFF2-40B4-BE49-F238E27FC236}">
              <a16:creationId xmlns:a16="http://schemas.microsoft.com/office/drawing/2014/main" id="{24EAAA1A-C2FF-48AB-B610-E5F33BD12318}"/>
            </a:ext>
          </a:extLst>
        </xdr:cNvPr>
        <xdr:cNvSpPr/>
      </xdr:nvSpPr>
      <xdr:spPr>
        <a:xfrm>
          <a:off x="6089562" y="841420"/>
          <a:ext cx="2088524" cy="854298"/>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285483</xdr:colOff>
      <xdr:row>4</xdr:row>
      <xdr:rowOff>92299</xdr:rowOff>
    </xdr:from>
    <xdr:to>
      <xdr:col>16</xdr:col>
      <xdr:colOff>558085</xdr:colOff>
      <xdr:row>9</xdr:row>
      <xdr:rowOff>75127</xdr:rowOff>
    </xdr:to>
    <xdr:sp macro="" textlink="">
      <xdr:nvSpPr>
        <xdr:cNvPr id="11" name="Rectangle: Rounded Corners 10">
          <a:extLst>
            <a:ext uri="{FF2B5EF4-FFF2-40B4-BE49-F238E27FC236}">
              <a16:creationId xmlns:a16="http://schemas.microsoft.com/office/drawing/2014/main" id="{CC565329-1189-4ABB-8D57-2B7320018F08}"/>
            </a:ext>
          </a:extLst>
        </xdr:cNvPr>
        <xdr:cNvSpPr/>
      </xdr:nvSpPr>
      <xdr:spPr>
        <a:xfrm>
          <a:off x="8238187" y="822102"/>
          <a:ext cx="2107842" cy="895081"/>
        </a:xfrm>
        <a:prstGeom prst="roundRect">
          <a:avLst/>
        </a:prstGeom>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53662</xdr:colOff>
      <xdr:row>5</xdr:row>
      <xdr:rowOff>0</xdr:rowOff>
    </xdr:from>
    <xdr:to>
      <xdr:col>6</xdr:col>
      <xdr:colOff>118056</xdr:colOff>
      <xdr:row>6</xdr:row>
      <xdr:rowOff>64395</xdr:rowOff>
    </xdr:to>
    <xdr:sp macro="" textlink="">
      <xdr:nvSpPr>
        <xdr:cNvPr id="13" name="TextBox 12">
          <a:extLst>
            <a:ext uri="{FF2B5EF4-FFF2-40B4-BE49-F238E27FC236}">
              <a16:creationId xmlns:a16="http://schemas.microsoft.com/office/drawing/2014/main" id="{4E903722-3246-BDD7-03D3-A8FE58657656}"/>
            </a:ext>
          </a:extLst>
        </xdr:cNvPr>
        <xdr:cNvSpPr txBox="1"/>
      </xdr:nvSpPr>
      <xdr:spPr>
        <a:xfrm>
          <a:off x="1888901" y="912254"/>
          <a:ext cx="1899634" cy="24684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800" b="1">
              <a:solidFill>
                <a:srgbClr val="C00000"/>
              </a:solidFill>
            </a:rPr>
            <a:t>Total Customers</a:t>
          </a:r>
        </a:p>
      </xdr:txBody>
    </xdr:sp>
    <xdr:clientData/>
  </xdr:twoCellAnchor>
  <xdr:twoCellAnchor>
    <xdr:from>
      <xdr:col>3</xdr:col>
      <xdr:colOff>171720</xdr:colOff>
      <xdr:row>7</xdr:row>
      <xdr:rowOff>53662</xdr:rowOff>
    </xdr:from>
    <xdr:to>
      <xdr:col>5</xdr:col>
      <xdr:colOff>504424</xdr:colOff>
      <xdr:row>8</xdr:row>
      <xdr:rowOff>139521</xdr:rowOff>
    </xdr:to>
    <xdr:sp macro="" textlink="'Pivot Table'!A123">
      <xdr:nvSpPr>
        <xdr:cNvPr id="14" name="TextBox 13">
          <a:extLst>
            <a:ext uri="{FF2B5EF4-FFF2-40B4-BE49-F238E27FC236}">
              <a16:creationId xmlns:a16="http://schemas.microsoft.com/office/drawing/2014/main" id="{BFBDAC99-192A-4AFB-2ADB-AC8EDC0AC459}"/>
            </a:ext>
          </a:extLst>
        </xdr:cNvPr>
        <xdr:cNvSpPr txBox="1"/>
      </xdr:nvSpPr>
      <xdr:spPr>
        <a:xfrm>
          <a:off x="2006959" y="1330817"/>
          <a:ext cx="1556197" cy="268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89F8FCA-939B-434C-9E2A-046331CD9EAE}" type="TxLink">
            <a:rPr lang="en-US" sz="1600" b="0" i="0" u="none" strike="noStrike">
              <a:solidFill>
                <a:srgbClr val="000000"/>
              </a:solidFill>
              <a:latin typeface="Arial Rounded MT Bold" panose="020F0704030504030204" pitchFamily="34" charset="0"/>
              <a:ea typeface="Calibri"/>
              <a:cs typeface="Calibri"/>
            </a:rPr>
            <a:pPr algn="ctr"/>
            <a:t>1000</a:t>
          </a:fld>
          <a:endParaRPr lang="en-IN" sz="1600">
            <a:latin typeface="Arial Rounded MT Bold" panose="020F0704030504030204" pitchFamily="34" charset="0"/>
          </a:endParaRPr>
        </a:p>
      </xdr:txBody>
    </xdr:sp>
    <xdr:clientData/>
  </xdr:twoCellAnchor>
  <xdr:twoCellAnchor>
    <xdr:from>
      <xdr:col>6</xdr:col>
      <xdr:colOff>364902</xdr:colOff>
      <xdr:row>7</xdr:row>
      <xdr:rowOff>85859</xdr:rowOff>
    </xdr:from>
    <xdr:to>
      <xdr:col>9</xdr:col>
      <xdr:colOff>85860</xdr:colOff>
      <xdr:row>8</xdr:row>
      <xdr:rowOff>171718</xdr:rowOff>
    </xdr:to>
    <xdr:sp macro="" textlink="'Pivot Table'!B123">
      <xdr:nvSpPr>
        <xdr:cNvPr id="16" name="TextBox 15">
          <a:extLst>
            <a:ext uri="{FF2B5EF4-FFF2-40B4-BE49-F238E27FC236}">
              <a16:creationId xmlns:a16="http://schemas.microsoft.com/office/drawing/2014/main" id="{7910E7CE-D64C-4AA7-8E0B-9E67BD15ADB9}"/>
            </a:ext>
          </a:extLst>
        </xdr:cNvPr>
        <xdr:cNvSpPr txBox="1"/>
      </xdr:nvSpPr>
      <xdr:spPr>
        <a:xfrm>
          <a:off x="4035381" y="1363014"/>
          <a:ext cx="1556197" cy="268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AE9448E-2FB2-498E-82CB-960F9C6F3902}" type="TxLink">
            <a:rPr lang="en-US" sz="1600" b="0" i="0" u="none" strike="noStrike">
              <a:solidFill>
                <a:srgbClr val="000000"/>
              </a:solidFill>
              <a:latin typeface="Arial Rounded MT Bold" panose="020F0704030504030204" pitchFamily="34" charset="0"/>
              <a:ea typeface="Calibri"/>
              <a:cs typeface="Calibri"/>
            </a:rPr>
            <a:pPr marL="0" indent="0" algn="ctr"/>
            <a:t>481</a:t>
          </a:fld>
          <a:endParaRPr lang="en-IN" sz="16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6</xdr:col>
      <xdr:colOff>300507</xdr:colOff>
      <xdr:row>4</xdr:row>
      <xdr:rowOff>160986</xdr:rowOff>
    </xdr:from>
    <xdr:to>
      <xdr:col>9</xdr:col>
      <xdr:colOff>311240</xdr:colOff>
      <xdr:row>6</xdr:row>
      <xdr:rowOff>75128</xdr:rowOff>
    </xdr:to>
    <xdr:sp macro="" textlink="">
      <xdr:nvSpPr>
        <xdr:cNvPr id="17" name="TextBox 16">
          <a:extLst>
            <a:ext uri="{FF2B5EF4-FFF2-40B4-BE49-F238E27FC236}">
              <a16:creationId xmlns:a16="http://schemas.microsoft.com/office/drawing/2014/main" id="{83F4A712-3ABE-9CF3-C7BA-D7DA64B4B024}"/>
            </a:ext>
          </a:extLst>
        </xdr:cNvPr>
        <xdr:cNvSpPr txBox="1"/>
      </xdr:nvSpPr>
      <xdr:spPr>
        <a:xfrm>
          <a:off x="3970986" y="890789"/>
          <a:ext cx="1845972" cy="27904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00000"/>
              </a:solidFill>
              <a:latin typeface="+mn-lt"/>
              <a:ea typeface="+mn-ea"/>
              <a:cs typeface="+mn-cs"/>
            </a:rPr>
            <a:t>Bikes</a:t>
          </a:r>
          <a:r>
            <a:rPr lang="en-IN" sz="1100" b="0" i="0" u="none" strike="noStrike">
              <a:solidFill>
                <a:schemeClr val="dk1"/>
              </a:solidFill>
              <a:effectLst/>
              <a:latin typeface="+mn-lt"/>
              <a:ea typeface="+mn-ea"/>
              <a:cs typeface="+mn-cs"/>
            </a:rPr>
            <a:t> </a:t>
          </a:r>
          <a:r>
            <a:rPr lang="en-IN" sz="1800" b="1">
              <a:solidFill>
                <a:srgbClr val="C00000"/>
              </a:solidFill>
              <a:latin typeface="+mn-lt"/>
              <a:ea typeface="+mn-ea"/>
              <a:cs typeface="+mn-cs"/>
            </a:rPr>
            <a:t>Purchased</a:t>
          </a:r>
          <a:r>
            <a:rPr lang="en-IN">
              <a:effectLst/>
            </a:rPr>
            <a:t> </a:t>
          </a:r>
          <a:endParaRPr lang="en-IN" sz="1100"/>
        </a:p>
      </xdr:txBody>
    </xdr:sp>
    <xdr:clientData/>
  </xdr:twoCellAnchor>
  <xdr:twoCellAnchor>
    <xdr:from>
      <xdr:col>10</xdr:col>
      <xdr:colOff>85859</xdr:colOff>
      <xdr:row>5</xdr:row>
      <xdr:rowOff>-1</xdr:rowOff>
    </xdr:from>
    <xdr:to>
      <xdr:col>13</xdr:col>
      <xdr:colOff>107324</xdr:colOff>
      <xdr:row>6</xdr:row>
      <xdr:rowOff>128789</xdr:rowOff>
    </xdr:to>
    <xdr:sp macro="" textlink="">
      <xdr:nvSpPr>
        <xdr:cNvPr id="18" name="TextBox 17">
          <a:extLst>
            <a:ext uri="{FF2B5EF4-FFF2-40B4-BE49-F238E27FC236}">
              <a16:creationId xmlns:a16="http://schemas.microsoft.com/office/drawing/2014/main" id="{A4041DB3-34E5-41E2-D7B5-B397AAA9A2AD}"/>
            </a:ext>
          </a:extLst>
        </xdr:cNvPr>
        <xdr:cNvSpPr txBox="1"/>
      </xdr:nvSpPr>
      <xdr:spPr>
        <a:xfrm>
          <a:off x="6203324" y="912253"/>
          <a:ext cx="1856704" cy="311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C00000"/>
              </a:solidFill>
              <a:latin typeface="+mn-lt"/>
              <a:ea typeface="+mn-ea"/>
              <a:cs typeface="+mn-cs"/>
            </a:rPr>
            <a:t>Average</a:t>
          </a:r>
          <a:r>
            <a:rPr lang="en-IN" sz="1100" b="0" i="0" u="none" strike="noStrike">
              <a:solidFill>
                <a:schemeClr val="dk1"/>
              </a:solidFill>
              <a:effectLst/>
              <a:latin typeface="+mn-lt"/>
              <a:ea typeface="+mn-ea"/>
              <a:cs typeface="+mn-cs"/>
            </a:rPr>
            <a:t> </a:t>
          </a:r>
          <a:r>
            <a:rPr lang="en-IN" sz="1800" b="1">
              <a:solidFill>
                <a:srgbClr val="C00000"/>
              </a:solidFill>
              <a:latin typeface="+mn-lt"/>
              <a:ea typeface="+mn-ea"/>
              <a:cs typeface="+mn-cs"/>
            </a:rPr>
            <a:t>Income</a:t>
          </a:r>
          <a:r>
            <a:rPr lang="en-IN">
              <a:effectLst/>
            </a:rPr>
            <a:t> </a:t>
          </a:r>
          <a:endParaRPr lang="en-IN" sz="1100">
            <a:solidFill>
              <a:schemeClr val="dk1"/>
            </a:solidFill>
            <a:effectLst/>
            <a:latin typeface="+mn-lt"/>
            <a:ea typeface="+mn-ea"/>
            <a:cs typeface="+mn-cs"/>
          </a:endParaRPr>
        </a:p>
      </xdr:txBody>
    </xdr:sp>
    <xdr:clientData/>
  </xdr:twoCellAnchor>
  <xdr:twoCellAnchor>
    <xdr:from>
      <xdr:col>10</xdr:col>
      <xdr:colOff>227527</xdr:colOff>
      <xdr:row>7</xdr:row>
      <xdr:rowOff>77273</xdr:rowOff>
    </xdr:from>
    <xdr:to>
      <xdr:col>12</xdr:col>
      <xdr:colOff>560231</xdr:colOff>
      <xdr:row>8</xdr:row>
      <xdr:rowOff>163132</xdr:rowOff>
    </xdr:to>
    <xdr:sp macro="" textlink="'Pivot Table'!C123">
      <xdr:nvSpPr>
        <xdr:cNvPr id="19" name="TextBox 18">
          <a:extLst>
            <a:ext uri="{FF2B5EF4-FFF2-40B4-BE49-F238E27FC236}">
              <a16:creationId xmlns:a16="http://schemas.microsoft.com/office/drawing/2014/main" id="{C312CA62-9BA6-4405-AECB-2754135AF972}"/>
            </a:ext>
          </a:extLst>
        </xdr:cNvPr>
        <xdr:cNvSpPr txBox="1"/>
      </xdr:nvSpPr>
      <xdr:spPr>
        <a:xfrm>
          <a:off x="6344992" y="1354428"/>
          <a:ext cx="1556197" cy="268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2DE0614-8352-4CDC-AE53-8203D45304CA}" type="TxLink">
            <a:rPr lang="en-US" sz="1600" b="0" i="0" u="none" strike="noStrike">
              <a:solidFill>
                <a:srgbClr val="000000"/>
              </a:solidFill>
              <a:latin typeface="Arial Rounded MT Bold" panose="020F0704030504030204" pitchFamily="34" charset="0"/>
              <a:ea typeface="Calibri"/>
              <a:cs typeface="Calibri"/>
            </a:rPr>
            <a:pPr marL="0" indent="0" algn="ctr"/>
            <a:t>$56,360</a:t>
          </a:fld>
          <a:endParaRPr lang="en-IN" sz="1600" b="0" i="0" u="none" strike="noStrike">
            <a:solidFill>
              <a:srgbClr val="000000"/>
            </a:solidFill>
            <a:latin typeface="Arial Rounded MT Bold" panose="020F0704030504030204" pitchFamily="34" charset="0"/>
            <a:ea typeface="Calibri"/>
            <a:cs typeface="Calibri"/>
          </a:endParaRPr>
        </a:p>
      </xdr:txBody>
    </xdr:sp>
    <xdr:clientData/>
  </xdr:twoCellAnchor>
  <xdr:twoCellAnchor>
    <xdr:from>
      <xdr:col>13</xdr:col>
      <xdr:colOff>386367</xdr:colOff>
      <xdr:row>4</xdr:row>
      <xdr:rowOff>150253</xdr:rowOff>
    </xdr:from>
    <xdr:to>
      <xdr:col>16</xdr:col>
      <xdr:colOff>246845</xdr:colOff>
      <xdr:row>6</xdr:row>
      <xdr:rowOff>96592</xdr:rowOff>
    </xdr:to>
    <xdr:sp macro="" textlink="">
      <xdr:nvSpPr>
        <xdr:cNvPr id="21" name="TextBox 20">
          <a:extLst>
            <a:ext uri="{FF2B5EF4-FFF2-40B4-BE49-F238E27FC236}">
              <a16:creationId xmlns:a16="http://schemas.microsoft.com/office/drawing/2014/main" id="{6D461509-46A4-93D6-EF6F-A7515F2A6B67}"/>
            </a:ext>
          </a:extLst>
        </xdr:cNvPr>
        <xdr:cNvSpPr txBox="1"/>
      </xdr:nvSpPr>
      <xdr:spPr>
        <a:xfrm>
          <a:off x="8339071" y="880056"/>
          <a:ext cx="1695718" cy="3112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IN" sz="1800" b="1">
              <a:solidFill>
                <a:srgbClr val="C00000"/>
              </a:solidFill>
              <a:latin typeface="+mn-lt"/>
              <a:ea typeface="+mn-ea"/>
              <a:cs typeface="+mn-cs"/>
            </a:rPr>
            <a:t>Purchased Rate </a:t>
          </a:r>
        </a:p>
      </xdr:txBody>
    </xdr:sp>
    <xdr:clientData/>
  </xdr:twoCellAnchor>
  <xdr:twoCellAnchor>
    <xdr:from>
      <xdr:col>13</xdr:col>
      <xdr:colOff>510863</xdr:colOff>
      <xdr:row>7</xdr:row>
      <xdr:rowOff>70835</xdr:rowOff>
    </xdr:from>
    <xdr:to>
      <xdr:col>16</xdr:col>
      <xdr:colOff>231820</xdr:colOff>
      <xdr:row>8</xdr:row>
      <xdr:rowOff>156694</xdr:rowOff>
    </xdr:to>
    <xdr:sp macro="" textlink="'Pivot Table'!D123">
      <xdr:nvSpPr>
        <xdr:cNvPr id="22" name="TextBox 21">
          <a:extLst>
            <a:ext uri="{FF2B5EF4-FFF2-40B4-BE49-F238E27FC236}">
              <a16:creationId xmlns:a16="http://schemas.microsoft.com/office/drawing/2014/main" id="{FFD23203-FE6F-4039-B5A6-27341485781D}"/>
            </a:ext>
          </a:extLst>
        </xdr:cNvPr>
        <xdr:cNvSpPr txBox="1"/>
      </xdr:nvSpPr>
      <xdr:spPr>
        <a:xfrm>
          <a:off x="8463567" y="1347990"/>
          <a:ext cx="1556197" cy="26831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5F4FC55-A81A-4706-87D3-65B1BF02519E}" type="TxLink">
            <a:rPr lang="en-US" sz="1600" b="0" i="0" u="none" strike="noStrike">
              <a:solidFill>
                <a:srgbClr val="000000"/>
              </a:solidFill>
              <a:latin typeface="Arial Rounded MT Bold" panose="020F0704030504030204" pitchFamily="34" charset="0"/>
              <a:ea typeface="Calibri"/>
              <a:cs typeface="Calibri"/>
            </a:rPr>
            <a:pPr marL="0" indent="0" algn="ctr"/>
            <a:t>48.10%</a:t>
          </a:fld>
          <a:endParaRPr lang="en-IN" sz="1600" b="0" i="0" u="none" strike="noStrike">
            <a:solidFill>
              <a:srgbClr val="000000"/>
            </a:solidFill>
            <a:latin typeface="Arial Rounded MT Bold" panose="020F0704030504030204" pitchFamily="34" charset="0"/>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h Faiz" refreshedDate="46223.706753356484" createdVersion="8" refreshedVersion="8" minRefreshableVersion="3" recordCount="1000" xr:uid="{895C166A-32AE-4562-BEC3-E3CBEF3F32AB}">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02358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0"/>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0"/>
    <x v="1"/>
  </r>
  <r>
    <n v="12212"/>
    <x v="0"/>
    <x v="0"/>
    <n v="10000"/>
    <n v="0"/>
    <x v="4"/>
    <s v="Manual"/>
    <s v="Yes"/>
    <n v="0"/>
    <x v="0"/>
    <x v="0"/>
    <x v="34"/>
    <x v="0"/>
    <x v="1"/>
  </r>
  <r>
    <n v="25529"/>
    <x v="1"/>
    <x v="1"/>
    <n v="10000"/>
    <n v="1"/>
    <x v="4"/>
    <s v="Manual"/>
    <s v="Yes"/>
    <n v="0"/>
    <x v="0"/>
    <x v="0"/>
    <x v="20"/>
    <x v="0"/>
    <x v="0"/>
  </r>
  <r>
    <n v="22170"/>
    <x v="0"/>
    <x v="0"/>
    <n v="30000"/>
    <n v="3"/>
    <x v="1"/>
    <s v="Clerical"/>
    <s v="No"/>
    <n v="2"/>
    <x v="3"/>
    <x v="1"/>
    <x v="10"/>
    <x v="0"/>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0"/>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0"/>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0"/>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0"/>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0"/>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0"/>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8160B6-1498-44D6-9A97-FC26D3F4D5E3}" name="PivotTable1" cacheId="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1">
    <format dxfId="17">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A76F6E-4CA5-43A3-B563-927368211F2B}" name="PivotTable4" cacheId="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8:D113"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AB7787-E397-4A0D-8B78-AC403315ABA3}" name="PivotTable3" cacheId="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46"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19B766-0FE1-4102-A99B-1E9D37CD1478}" name="PivotTable5" cacheId="18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17:C120" firstHeaderRow="0" firstDataRow="1" firstDataCol="1"/>
  <pivotFields count="14">
    <pivotField showAll="0"/>
    <pivotField showAll="0"/>
    <pivotField dataField="1" showAll="0"/>
    <pivotField dataField="1" numFmtId="165"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s>
  <rowFields count="1">
    <field x="13"/>
  </rowFields>
  <rowItems count="3">
    <i>
      <x/>
    </i>
    <i>
      <x v="1"/>
    </i>
    <i t="grand">
      <x/>
    </i>
  </rowItems>
  <colFields count="1">
    <field x="-2"/>
  </colFields>
  <colItems count="2">
    <i>
      <x/>
    </i>
    <i i="1">
      <x v="1"/>
    </i>
  </colItems>
  <dataFields count="2">
    <dataField name="Count of Gender" fld="2" subtotal="count" baseField="0" baseItem="0"/>
    <dataField name="Average of Income" fld="3" subtotal="average" baseField="13"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B63A706-6EB5-489F-852F-5AB7C60FEAAA}" name="PivotTable2" cacheId="1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pivotField showAll="0"/>
    <pivotField numFmtId="165" showAll="0"/>
    <pivotField showAll="0"/>
    <pivotField showAll="0"/>
    <pivotField showAll="0"/>
    <pivotField showAll="0"/>
    <pivotField showAll="0"/>
    <pivotField axis="axisRow" showAll="0" sortType="ascending">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491FED7F-18D1-4AB4-AD95-CB959FBD51C4}" sourceName="Marital Status">
  <pivotTables>
    <pivotTable tabId="4" name="PivotTable1"/>
  </pivotTables>
  <data>
    <tabular pivotCacheId="9023581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474C255-4785-4BE3-931B-A4CFE498C5ED}" sourceName="Education">
  <pivotTables>
    <pivotTable tabId="4" name="PivotTable1"/>
  </pivotTables>
  <data>
    <tabular pivotCacheId="902358153">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4FF0D7-2D00-40D8-8242-75D97B88EFCF}" sourceName="Region">
  <pivotTables>
    <pivotTable tabId="4" name="PivotTable1"/>
  </pivotTables>
  <data>
    <tabular pivotCacheId="9023581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769085C-1A06-42C8-8128-672CF87DE788}" cache="Slicer_Marital_Status" caption="Marital Status" rowHeight="234950"/>
  <slicer name="Education" xr10:uid="{7CFBF2ED-D376-4ACC-9E79-1A3D56824EB7}" cache="Slicer_Education" caption="Education" rowHeight="234950"/>
  <slicer name="Region" xr10:uid="{54D6F42E-F4BE-4B35-9DB3-13B0E4A8670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I1" workbookViewId="0">
      <selection activeCell="I1"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51C81-032D-4DC1-AA79-EE4F97722B39}">
  <dimension ref="A1:N1001"/>
  <sheetViews>
    <sheetView workbookViewId="0">
      <selection activeCell="A103" sqref="A103"/>
    </sheetView>
  </sheetViews>
  <sheetFormatPr defaultColWidth="11.88671875" defaultRowHeight="14.4" x14ac:dyDescent="0.3"/>
  <cols>
    <col min="1" max="1" width="11" customWidth="1"/>
    <col min="2" max="2" width="16.33203125" customWidth="1"/>
    <col min="3" max="3" width="14.6640625" customWidth="1"/>
    <col min="4" max="4" width="20.109375" style="3" customWidth="1"/>
    <col min="5" max="5" width="15.5546875" customWidth="1"/>
    <col min="6" max="6" width="18.5546875" customWidth="1"/>
    <col min="7" max="7" width="16.77734375" customWidth="1"/>
    <col min="8" max="8" width="14" bestFit="1" customWidth="1"/>
    <col min="9" max="9" width="12.77734375" customWidth="1"/>
    <col min="10" max="10" width="20.77734375" customWidth="1"/>
    <col min="11" max="11" width="14.88671875" customWidth="1"/>
    <col min="12" max="12" width="11.21875" customWidth="1"/>
    <col min="13" max="13" width="14.6640625"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IF(L2&gt;55,"Old",IF(L2&gt;=31,"Middle Age",IF(L2&lt;31,"Adolescent","Invalid")))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IF(L3&gt;55,"Old",IF(L3&gt;=31,"Middle Age",IF(L3&lt;31,"Adolescent","Invalid")))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47</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47</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47</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47</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47</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IF(L67&gt;55,"Old",IF(L67&gt;=31,"Middle Age",IF(L67&lt;31,"Adolescent","Invalid")))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47</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47</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39</v>
      </c>
      <c r="D97" s="3">
        <v>90000</v>
      </c>
      <c r="E97">
        <v>5</v>
      </c>
      <c r="F97" t="s">
        <v>19</v>
      </c>
      <c r="G97" t="s">
        <v>21</v>
      </c>
      <c r="H97" t="s">
        <v>15</v>
      </c>
      <c r="I97">
        <v>2</v>
      </c>
      <c r="J97" t="s">
        <v>47</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IF(L131&gt;55,"Old",IF(L131&gt;=31,"Middle Age",IF(L131&lt;31,"Adolescent","Invalid")))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47</v>
      </c>
      <c r="K180" t="s">
        <v>17</v>
      </c>
      <c r="L180">
        <v>55</v>
      </c>
      <c r="M180" t="str">
        <f t="shared" si="2"/>
        <v>Middle Age</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47</v>
      </c>
      <c r="K195" t="s">
        <v>24</v>
      </c>
      <c r="L195">
        <v>41</v>
      </c>
      <c r="M195" t="str">
        <f t="shared" ref="M195:M258" si="3">IF(L195&gt;55,"Old",IF(L195&gt;=31,"Middle Age",IF(L195&lt;31,"Adolescent","Invalid")))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IF(L259&gt;55,"Old",IF(L259&gt;=31,"Middle Age",IF(L259&lt;31,"Adolescent","Invalid")))</f>
        <v>Middle Age</v>
      </c>
      <c r="N259" t="s">
        <v>15</v>
      </c>
    </row>
    <row r="260" spans="1:14" x14ac:dyDescent="0.3">
      <c r="A260">
        <v>14193</v>
      </c>
      <c r="B260" t="s">
        <v>37</v>
      </c>
      <c r="C260" t="s">
        <v>39</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IF(L323&gt;55,"Old",IF(L323&gt;=31,"Middle Age",IF(L323&lt;31,"Adolescent","Invalid")))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47</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47</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IF(L387&gt;55,"Old",IF(L387&gt;=31,"Middle Age",IF(L387&lt;31,"Adolescent","Invalid")))</f>
        <v>Middle Age</v>
      </c>
      <c r="N387" t="s">
        <v>18</v>
      </c>
    </row>
    <row r="388" spans="1:14" x14ac:dyDescent="0.3">
      <c r="A388">
        <v>28957</v>
      </c>
      <c r="B388" t="s">
        <v>37</v>
      </c>
      <c r="C388" t="s">
        <v>39</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IF(L451&gt;55,"Old",IF(L451&gt;=31,"Middle Age",IF(L451&lt;31,"Adolescent","Invalid")))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47</v>
      </c>
      <c r="K515" t="s">
        <v>32</v>
      </c>
      <c r="L515">
        <v>61</v>
      </c>
      <c r="M515" t="str">
        <f t="shared" ref="M515:M578" si="8">IF(L515&gt;55,"Old",IF(L515&gt;=31,"Middle Age",IF(L515&lt;31,"Adolescent","Invalid")))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IF(L579&gt;55,"Old",IF(L579&gt;=31,"Middle Age",IF(L579&lt;31,"Adolescent","Invalid")))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47</v>
      </c>
      <c r="K643" t="s">
        <v>32</v>
      </c>
      <c r="L643">
        <v>64</v>
      </c>
      <c r="M643" t="str">
        <f t="shared" ref="M643:M706" si="10">IF(L643&gt;55,"Old",IF(L643&gt;=31,"Middle Age",IF(L643&lt;31,"Adolescent","Invalid")))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47</v>
      </c>
      <c r="K707" t="s">
        <v>32</v>
      </c>
      <c r="L707">
        <v>59</v>
      </c>
      <c r="M707" t="str">
        <f t="shared" ref="M707:M770" si="11">IF(L707&gt;55,"Old",IF(L707&gt;=31,"Middle Age",IF(L707&lt;31,"Adolescent","Invalid")))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47</v>
      </c>
      <c r="K741" t="s">
        <v>32</v>
      </c>
      <c r="L741">
        <v>55</v>
      </c>
      <c r="M741" t="str">
        <f t="shared" si="11"/>
        <v>Middle Age</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IF(L771&gt;55,"Old",IF(L771&gt;=31,"Middle Age",IF(L771&lt;31,"Adolescent","Invalid")))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47</v>
      </c>
      <c r="K782" t="s">
        <v>32</v>
      </c>
      <c r="L782">
        <v>55</v>
      </c>
      <c r="M782" t="str">
        <f t="shared" si="12"/>
        <v>Middle Age</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IF(L835&gt;55,"Old",IF(L835&gt;=31,"Middle Age",IF(L835&lt;31,"Adolescent","Invalid")))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47</v>
      </c>
      <c r="K868" t="s">
        <v>32</v>
      </c>
      <c r="L868">
        <v>55</v>
      </c>
      <c r="M868" t="str">
        <f t="shared" si="13"/>
        <v>Middle Age</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47</v>
      </c>
      <c r="K873" t="s">
        <v>32</v>
      </c>
      <c r="L873">
        <v>55</v>
      </c>
      <c r="M873" t="str">
        <f t="shared" si="13"/>
        <v>Middle Age</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IF(L899&gt;55,"Old",IF(L899&gt;=31,"Middle Age",IF(L899&lt;31,"Adolescent","Invalid")))</f>
        <v>Adolescent</v>
      </c>
      <c r="N899" t="s">
        <v>18</v>
      </c>
    </row>
    <row r="900" spans="1:14" x14ac:dyDescent="0.3">
      <c r="A900">
        <v>18066</v>
      </c>
      <c r="B900" t="s">
        <v>37</v>
      </c>
      <c r="C900" t="s">
        <v>38</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IF(L963&gt;55,"Old",IF(L963&gt;=31,"Middle Age",IF(L963&lt;31,"Adolescent","Invalid")))</f>
        <v>Old</v>
      </c>
      <c r="N963" t="s">
        <v>18</v>
      </c>
    </row>
    <row r="964" spans="1:14" x14ac:dyDescent="0.3">
      <c r="A964">
        <v>16813</v>
      </c>
      <c r="B964" t="s">
        <v>36</v>
      </c>
      <c r="C964" t="s">
        <v>38</v>
      </c>
      <c r="D964" s="3">
        <v>60000</v>
      </c>
      <c r="E964">
        <v>2</v>
      </c>
      <c r="F964" t="s">
        <v>19</v>
      </c>
      <c r="G964" t="s">
        <v>21</v>
      </c>
      <c r="H964" t="s">
        <v>15</v>
      </c>
      <c r="I964">
        <v>2</v>
      </c>
      <c r="J964" t="s">
        <v>47</v>
      </c>
      <c r="K964" t="s">
        <v>32</v>
      </c>
      <c r="L964">
        <v>55</v>
      </c>
      <c r="M964" t="str">
        <f t="shared" si="15"/>
        <v>Middle Age</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IF(L973&gt;55,"Old",IF(L973&gt;=31,"Middle Age",IF(L973&lt;31,"Adolescent","Invalid")))</f>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IF(L974&gt;55,"Old",IF(L974&gt;=31,"Middle Age",IF(L974&lt;31,"Adolescent","Invalid")))</f>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47</v>
      </c>
      <c r="K1001" t="s">
        <v>32</v>
      </c>
      <c r="L1001">
        <v>53</v>
      </c>
      <c r="M1001" t="str">
        <f t="shared" si="15"/>
        <v>Middle Age</v>
      </c>
      <c r="N1001" t="s">
        <v>15</v>
      </c>
    </row>
  </sheetData>
  <autoFilter ref="A1:N1001" xr:uid="{71751C81-032D-4DC1-AA79-EE4F97722B3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DC1FE-93DD-45E2-ACD2-6A2814DFBA7E}">
  <dimension ref="A3:D123"/>
  <sheetViews>
    <sheetView topLeftCell="A108" workbookViewId="0">
      <selection activeCell="C123" sqref="C123"/>
    </sheetView>
  </sheetViews>
  <sheetFormatPr defaultRowHeight="14.4" x14ac:dyDescent="0.3"/>
  <cols>
    <col min="1" max="1" width="21.88671875" bestFit="1" customWidth="1"/>
    <col min="2" max="2" width="15.5546875" bestFit="1" customWidth="1"/>
    <col min="3" max="3" width="17"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39</v>
      </c>
      <c r="B5" s="6">
        <v>53440</v>
      </c>
      <c r="C5" s="6">
        <v>55774.058577405856</v>
      </c>
      <c r="D5" s="6">
        <v>54580.777096114522</v>
      </c>
    </row>
    <row r="6" spans="1:4" x14ac:dyDescent="0.3">
      <c r="A6" s="5" t="s">
        <v>38</v>
      </c>
      <c r="B6" s="6">
        <v>56208.178438661707</v>
      </c>
      <c r="C6" s="6">
        <v>60123.966942148763</v>
      </c>
      <c r="D6" s="6">
        <v>58062.62230919765</v>
      </c>
    </row>
    <row r="7" spans="1:4" x14ac:dyDescent="0.3">
      <c r="A7" s="5" t="s">
        <v>42</v>
      </c>
      <c r="B7" s="6">
        <v>54874.759152215796</v>
      </c>
      <c r="C7" s="6">
        <v>57962.577962577961</v>
      </c>
      <c r="D7" s="6">
        <v>56360</v>
      </c>
    </row>
    <row r="20" spans="1:4" x14ac:dyDescent="0.3">
      <c r="A20" s="4" t="s">
        <v>45</v>
      </c>
      <c r="B20" s="4" t="s">
        <v>44</v>
      </c>
    </row>
    <row r="21" spans="1:4" x14ac:dyDescent="0.3">
      <c r="A21" s="4" t="s">
        <v>41</v>
      </c>
      <c r="B21" t="s">
        <v>18</v>
      </c>
      <c r="C21" t="s">
        <v>15</v>
      </c>
      <c r="D21" t="s">
        <v>42</v>
      </c>
    </row>
    <row r="22" spans="1:4" x14ac:dyDescent="0.3">
      <c r="A22" s="5" t="s">
        <v>16</v>
      </c>
      <c r="B22" s="11">
        <v>166</v>
      </c>
      <c r="C22" s="11">
        <v>200</v>
      </c>
      <c r="D22" s="11">
        <v>366</v>
      </c>
    </row>
    <row r="23" spans="1:4" x14ac:dyDescent="0.3">
      <c r="A23" s="5" t="s">
        <v>26</v>
      </c>
      <c r="B23" s="11">
        <v>92</v>
      </c>
      <c r="C23" s="11">
        <v>77</v>
      </c>
      <c r="D23" s="11">
        <v>169</v>
      </c>
    </row>
    <row r="24" spans="1:4" x14ac:dyDescent="0.3">
      <c r="A24" s="5" t="s">
        <v>22</v>
      </c>
      <c r="B24" s="11">
        <v>67</v>
      </c>
      <c r="C24" s="11">
        <v>95</v>
      </c>
      <c r="D24" s="11">
        <v>162</v>
      </c>
    </row>
    <row r="25" spans="1:4" x14ac:dyDescent="0.3">
      <c r="A25" s="5" t="s">
        <v>23</v>
      </c>
      <c r="B25" s="11">
        <v>116</v>
      </c>
      <c r="C25" s="11">
        <v>76</v>
      </c>
      <c r="D25" s="11">
        <v>192</v>
      </c>
    </row>
    <row r="26" spans="1:4" x14ac:dyDescent="0.3">
      <c r="A26" s="5" t="s">
        <v>47</v>
      </c>
      <c r="B26" s="11">
        <v>78</v>
      </c>
      <c r="C26" s="11">
        <v>33</v>
      </c>
      <c r="D26" s="11">
        <v>111</v>
      </c>
    </row>
    <row r="27" spans="1:4" x14ac:dyDescent="0.3">
      <c r="A27" s="5" t="s">
        <v>42</v>
      </c>
      <c r="B27" s="11">
        <v>519</v>
      </c>
      <c r="C27" s="11">
        <v>481</v>
      </c>
      <c r="D27" s="11">
        <v>1000</v>
      </c>
    </row>
    <row r="41" spans="1:4" x14ac:dyDescent="0.3">
      <c r="A41" s="4" t="s">
        <v>45</v>
      </c>
      <c r="B41" s="4" t="s">
        <v>44</v>
      </c>
    </row>
    <row r="42" spans="1:4" x14ac:dyDescent="0.3">
      <c r="A42" s="4" t="s">
        <v>41</v>
      </c>
      <c r="B42" t="s">
        <v>18</v>
      </c>
      <c r="C42" t="s">
        <v>15</v>
      </c>
      <c r="D42" t="s">
        <v>42</v>
      </c>
    </row>
    <row r="43" spans="1:4" x14ac:dyDescent="0.3">
      <c r="A43" s="5" t="s">
        <v>54</v>
      </c>
      <c r="B43" s="11">
        <v>71</v>
      </c>
      <c r="C43" s="11">
        <v>39</v>
      </c>
      <c r="D43" s="11">
        <v>110</v>
      </c>
    </row>
    <row r="44" spans="1:4" x14ac:dyDescent="0.3">
      <c r="A44" s="5" t="s">
        <v>46</v>
      </c>
      <c r="B44" s="11">
        <v>331</v>
      </c>
      <c r="C44" s="11">
        <v>388</v>
      </c>
      <c r="D44" s="11">
        <v>719</v>
      </c>
    </row>
    <row r="45" spans="1:4" x14ac:dyDescent="0.3">
      <c r="A45" s="5" t="s">
        <v>55</v>
      </c>
      <c r="B45" s="11">
        <v>117</v>
      </c>
      <c r="C45" s="11">
        <v>54</v>
      </c>
      <c r="D45" s="11">
        <v>171</v>
      </c>
    </row>
    <row r="46" spans="1:4" x14ac:dyDescent="0.3">
      <c r="A46" s="5" t="s">
        <v>42</v>
      </c>
      <c r="B46" s="11">
        <v>519</v>
      </c>
      <c r="C46" s="11">
        <v>481</v>
      </c>
      <c r="D46" s="11">
        <v>1000</v>
      </c>
    </row>
    <row r="58" spans="1:4" x14ac:dyDescent="0.3">
      <c r="A58" s="4" t="s">
        <v>45</v>
      </c>
      <c r="B58" s="4" t="s">
        <v>44</v>
      </c>
    </row>
    <row r="59" spans="1:4" x14ac:dyDescent="0.3">
      <c r="A59" s="4" t="s">
        <v>41</v>
      </c>
      <c r="B59" t="s">
        <v>18</v>
      </c>
      <c r="C59" t="s">
        <v>15</v>
      </c>
      <c r="D59" t="s">
        <v>42</v>
      </c>
    </row>
    <row r="60" spans="1:4" x14ac:dyDescent="0.3">
      <c r="A60" s="5">
        <v>25</v>
      </c>
      <c r="B60" s="11">
        <v>2</v>
      </c>
      <c r="C60" s="11">
        <v>4</v>
      </c>
      <c r="D60" s="11">
        <v>6</v>
      </c>
    </row>
    <row r="61" spans="1:4" x14ac:dyDescent="0.3">
      <c r="A61" s="5">
        <v>26</v>
      </c>
      <c r="B61" s="11">
        <v>8</v>
      </c>
      <c r="C61" s="11">
        <v>8</v>
      </c>
      <c r="D61" s="11">
        <v>16</v>
      </c>
    </row>
    <row r="62" spans="1:4" x14ac:dyDescent="0.3">
      <c r="A62" s="5">
        <v>27</v>
      </c>
      <c r="B62" s="11">
        <v>15</v>
      </c>
      <c r="C62" s="11">
        <v>8</v>
      </c>
      <c r="D62" s="11">
        <v>23</v>
      </c>
    </row>
    <row r="63" spans="1:4" x14ac:dyDescent="0.3">
      <c r="A63" s="5">
        <v>28</v>
      </c>
      <c r="B63" s="11">
        <v>12</v>
      </c>
      <c r="C63" s="11">
        <v>10</v>
      </c>
      <c r="D63" s="11">
        <v>22</v>
      </c>
    </row>
    <row r="64" spans="1:4" x14ac:dyDescent="0.3">
      <c r="A64" s="5">
        <v>29</v>
      </c>
      <c r="B64" s="11">
        <v>11</v>
      </c>
      <c r="C64" s="11">
        <v>5</v>
      </c>
      <c r="D64" s="11">
        <v>16</v>
      </c>
    </row>
    <row r="65" spans="1:4" x14ac:dyDescent="0.3">
      <c r="A65" s="5">
        <v>30</v>
      </c>
      <c r="B65" s="11">
        <v>23</v>
      </c>
      <c r="C65" s="11">
        <v>4</v>
      </c>
      <c r="D65" s="11">
        <v>27</v>
      </c>
    </row>
    <row r="66" spans="1:4" x14ac:dyDescent="0.3">
      <c r="A66" s="5">
        <v>31</v>
      </c>
      <c r="B66" s="11">
        <v>17</v>
      </c>
      <c r="C66" s="11">
        <v>8</v>
      </c>
      <c r="D66" s="11">
        <v>25</v>
      </c>
    </row>
    <row r="67" spans="1:4" x14ac:dyDescent="0.3">
      <c r="A67" s="5">
        <v>32</v>
      </c>
      <c r="B67" s="11">
        <v>19</v>
      </c>
      <c r="C67" s="11">
        <v>14</v>
      </c>
      <c r="D67" s="11">
        <v>33</v>
      </c>
    </row>
    <row r="68" spans="1:4" x14ac:dyDescent="0.3">
      <c r="A68" s="5">
        <v>33</v>
      </c>
      <c r="B68" s="11">
        <v>8</v>
      </c>
      <c r="C68" s="11">
        <v>13</v>
      </c>
      <c r="D68" s="11">
        <v>21</v>
      </c>
    </row>
    <row r="69" spans="1:4" x14ac:dyDescent="0.3">
      <c r="A69" s="5">
        <v>34</v>
      </c>
      <c r="B69" s="11">
        <v>12</v>
      </c>
      <c r="C69" s="11">
        <v>19</v>
      </c>
      <c r="D69" s="11">
        <v>31</v>
      </c>
    </row>
    <row r="70" spans="1:4" x14ac:dyDescent="0.3">
      <c r="A70" s="5">
        <v>35</v>
      </c>
      <c r="B70" s="11">
        <v>14</v>
      </c>
      <c r="C70" s="11">
        <v>22</v>
      </c>
      <c r="D70" s="11">
        <v>36</v>
      </c>
    </row>
    <row r="71" spans="1:4" x14ac:dyDescent="0.3">
      <c r="A71" s="5">
        <v>36</v>
      </c>
      <c r="B71" s="11">
        <v>7</v>
      </c>
      <c r="C71" s="11">
        <v>30</v>
      </c>
      <c r="D71" s="11">
        <v>37</v>
      </c>
    </row>
    <row r="72" spans="1:4" x14ac:dyDescent="0.3">
      <c r="A72" s="5">
        <v>37</v>
      </c>
      <c r="B72" s="11">
        <v>4</v>
      </c>
      <c r="C72" s="11">
        <v>28</v>
      </c>
      <c r="D72" s="11">
        <v>32</v>
      </c>
    </row>
    <row r="73" spans="1:4" x14ac:dyDescent="0.3">
      <c r="A73" s="5">
        <v>38</v>
      </c>
      <c r="B73" s="11">
        <v>8</v>
      </c>
      <c r="C73" s="11">
        <v>29</v>
      </c>
      <c r="D73" s="11">
        <v>37</v>
      </c>
    </row>
    <row r="74" spans="1:4" x14ac:dyDescent="0.3">
      <c r="A74" s="5">
        <v>39</v>
      </c>
      <c r="B74" s="11">
        <v>10</v>
      </c>
      <c r="C74" s="11">
        <v>12</v>
      </c>
      <c r="D74" s="11">
        <v>22</v>
      </c>
    </row>
    <row r="75" spans="1:4" x14ac:dyDescent="0.3">
      <c r="A75" s="5">
        <v>40</v>
      </c>
      <c r="B75" s="11">
        <v>24</v>
      </c>
      <c r="C75" s="11">
        <v>18</v>
      </c>
      <c r="D75" s="11">
        <v>42</v>
      </c>
    </row>
    <row r="76" spans="1:4" x14ac:dyDescent="0.3">
      <c r="A76" s="5">
        <v>41</v>
      </c>
      <c r="B76" s="11">
        <v>13</v>
      </c>
      <c r="C76" s="11">
        <v>15</v>
      </c>
      <c r="D76" s="11">
        <v>28</v>
      </c>
    </row>
    <row r="77" spans="1:4" x14ac:dyDescent="0.3">
      <c r="A77" s="5">
        <v>42</v>
      </c>
      <c r="B77" s="11">
        <v>22</v>
      </c>
      <c r="C77" s="11">
        <v>12</v>
      </c>
      <c r="D77" s="11">
        <v>34</v>
      </c>
    </row>
    <row r="78" spans="1:4" x14ac:dyDescent="0.3">
      <c r="A78" s="5">
        <v>43</v>
      </c>
      <c r="B78" s="11">
        <v>17</v>
      </c>
      <c r="C78" s="11">
        <v>19</v>
      </c>
      <c r="D78" s="11">
        <v>36</v>
      </c>
    </row>
    <row r="79" spans="1:4" x14ac:dyDescent="0.3">
      <c r="A79" s="5">
        <v>44</v>
      </c>
      <c r="B79" s="11">
        <v>15</v>
      </c>
      <c r="C79" s="11">
        <v>12</v>
      </c>
      <c r="D79" s="11">
        <v>27</v>
      </c>
    </row>
    <row r="80" spans="1:4" x14ac:dyDescent="0.3">
      <c r="A80" s="5">
        <v>45</v>
      </c>
      <c r="B80" s="11">
        <v>18</v>
      </c>
      <c r="C80" s="11">
        <v>13</v>
      </c>
      <c r="D80" s="11">
        <v>31</v>
      </c>
    </row>
    <row r="81" spans="1:4" x14ac:dyDescent="0.3">
      <c r="A81" s="5">
        <v>46</v>
      </c>
      <c r="B81" s="11">
        <v>12</v>
      </c>
      <c r="C81" s="11">
        <v>15</v>
      </c>
      <c r="D81" s="11">
        <v>27</v>
      </c>
    </row>
    <row r="82" spans="1:4" x14ac:dyDescent="0.3">
      <c r="A82" s="5">
        <v>47</v>
      </c>
      <c r="B82" s="11">
        <v>19</v>
      </c>
      <c r="C82" s="11">
        <v>20</v>
      </c>
      <c r="D82" s="11">
        <v>39</v>
      </c>
    </row>
    <row r="83" spans="1:4" x14ac:dyDescent="0.3">
      <c r="A83" s="5">
        <v>48</v>
      </c>
      <c r="B83" s="11">
        <v>16</v>
      </c>
      <c r="C83" s="11">
        <v>13</v>
      </c>
      <c r="D83" s="11">
        <v>29</v>
      </c>
    </row>
    <row r="84" spans="1:4" x14ac:dyDescent="0.3">
      <c r="A84" s="5">
        <v>49</v>
      </c>
      <c r="B84" s="11">
        <v>15</v>
      </c>
      <c r="C84" s="11">
        <v>8</v>
      </c>
      <c r="D84" s="11">
        <v>23</v>
      </c>
    </row>
    <row r="85" spans="1:4" x14ac:dyDescent="0.3">
      <c r="A85" s="5">
        <v>50</v>
      </c>
      <c r="B85" s="11">
        <v>12</v>
      </c>
      <c r="C85" s="11">
        <v>12</v>
      </c>
      <c r="D85" s="11">
        <v>24</v>
      </c>
    </row>
    <row r="86" spans="1:4" x14ac:dyDescent="0.3">
      <c r="A86" s="5">
        <v>51</v>
      </c>
      <c r="B86" s="11">
        <v>10</v>
      </c>
      <c r="C86" s="11">
        <v>12</v>
      </c>
      <c r="D86" s="11">
        <v>22</v>
      </c>
    </row>
    <row r="87" spans="1:4" x14ac:dyDescent="0.3">
      <c r="A87" s="5">
        <v>52</v>
      </c>
      <c r="B87" s="11">
        <v>10</v>
      </c>
      <c r="C87" s="11">
        <v>15</v>
      </c>
      <c r="D87" s="11">
        <v>25</v>
      </c>
    </row>
    <row r="88" spans="1:4" x14ac:dyDescent="0.3">
      <c r="A88" s="5">
        <v>53</v>
      </c>
      <c r="B88" s="11">
        <v>11</v>
      </c>
      <c r="C88" s="11">
        <v>13</v>
      </c>
      <c r="D88" s="11">
        <v>24</v>
      </c>
    </row>
    <row r="89" spans="1:4" x14ac:dyDescent="0.3">
      <c r="A89" s="5">
        <v>54</v>
      </c>
      <c r="B89" s="11">
        <v>5</v>
      </c>
      <c r="C89" s="11">
        <v>11</v>
      </c>
      <c r="D89" s="11">
        <v>16</v>
      </c>
    </row>
    <row r="90" spans="1:4" x14ac:dyDescent="0.3">
      <c r="A90" s="5">
        <v>55</v>
      </c>
      <c r="B90" s="11">
        <v>13</v>
      </c>
      <c r="C90" s="11">
        <v>5</v>
      </c>
      <c r="D90" s="11">
        <v>18</v>
      </c>
    </row>
    <row r="91" spans="1:4" x14ac:dyDescent="0.3">
      <c r="A91" s="5">
        <v>56</v>
      </c>
      <c r="B91" s="11">
        <v>13</v>
      </c>
      <c r="C91" s="11">
        <v>3</v>
      </c>
      <c r="D91" s="11">
        <v>16</v>
      </c>
    </row>
    <row r="92" spans="1:4" x14ac:dyDescent="0.3">
      <c r="A92" s="5">
        <v>57</v>
      </c>
      <c r="B92" s="11">
        <v>4</v>
      </c>
      <c r="C92" s="11">
        <v>4</v>
      </c>
      <c r="D92" s="11">
        <v>8</v>
      </c>
    </row>
    <row r="93" spans="1:4" x14ac:dyDescent="0.3">
      <c r="A93" s="5">
        <v>58</v>
      </c>
      <c r="B93" s="11">
        <v>8</v>
      </c>
      <c r="C93" s="11">
        <v>4</v>
      </c>
      <c r="D93" s="11">
        <v>12</v>
      </c>
    </row>
    <row r="94" spans="1:4" x14ac:dyDescent="0.3">
      <c r="A94" s="5">
        <v>59</v>
      </c>
      <c r="B94" s="11">
        <v>14</v>
      </c>
      <c r="C94" s="11">
        <v>6</v>
      </c>
      <c r="D94" s="11">
        <v>20</v>
      </c>
    </row>
    <row r="95" spans="1:4" x14ac:dyDescent="0.3">
      <c r="A95" s="5">
        <v>60</v>
      </c>
      <c r="B95" s="11">
        <v>8</v>
      </c>
      <c r="C95" s="11">
        <v>7</v>
      </c>
      <c r="D95" s="11">
        <v>15</v>
      </c>
    </row>
    <row r="96" spans="1:4" x14ac:dyDescent="0.3">
      <c r="A96" s="5">
        <v>61</v>
      </c>
      <c r="B96" s="11">
        <v>5</v>
      </c>
      <c r="C96" s="11">
        <v>4</v>
      </c>
      <c r="D96" s="11">
        <v>9</v>
      </c>
    </row>
    <row r="97" spans="1:4" x14ac:dyDescent="0.3">
      <c r="A97" s="5">
        <v>62</v>
      </c>
      <c r="B97" s="11">
        <v>9</v>
      </c>
      <c r="C97" s="11">
        <v>4</v>
      </c>
      <c r="D97" s="11">
        <v>13</v>
      </c>
    </row>
    <row r="98" spans="1:4" x14ac:dyDescent="0.3">
      <c r="A98" s="5">
        <v>63</v>
      </c>
      <c r="B98" s="11">
        <v>7</v>
      </c>
      <c r="C98" s="11">
        <v>2</v>
      </c>
      <c r="D98" s="11">
        <v>9</v>
      </c>
    </row>
    <row r="99" spans="1:4" x14ac:dyDescent="0.3">
      <c r="A99" s="5">
        <v>64</v>
      </c>
      <c r="B99" s="11">
        <v>7</v>
      </c>
      <c r="C99" s="11">
        <v>3</v>
      </c>
      <c r="D99" s="11">
        <v>10</v>
      </c>
    </row>
    <row r="100" spans="1:4" x14ac:dyDescent="0.3">
      <c r="A100" s="5">
        <v>65</v>
      </c>
      <c r="B100" s="11">
        <v>6</v>
      </c>
      <c r="C100" s="11">
        <v>3</v>
      </c>
      <c r="D100" s="11">
        <v>9</v>
      </c>
    </row>
    <row r="101" spans="1:4" x14ac:dyDescent="0.3">
      <c r="A101" s="5">
        <v>66</v>
      </c>
      <c r="B101" s="11">
        <v>8</v>
      </c>
      <c r="C101" s="11">
        <v>6</v>
      </c>
      <c r="D101" s="11">
        <v>14</v>
      </c>
    </row>
    <row r="102" spans="1:4" x14ac:dyDescent="0.3">
      <c r="A102" s="5">
        <v>67</v>
      </c>
      <c r="B102" s="11">
        <v>8</v>
      </c>
      <c r="C102" s="11">
        <v>2</v>
      </c>
      <c r="D102" s="11">
        <v>10</v>
      </c>
    </row>
    <row r="103" spans="1:4" x14ac:dyDescent="0.3">
      <c r="A103" s="5">
        <v>68</v>
      </c>
      <c r="B103" s="11">
        <v>3</v>
      </c>
      <c r="C103" s="11"/>
      <c r="D103" s="11">
        <v>3</v>
      </c>
    </row>
    <row r="104" spans="1:4" x14ac:dyDescent="0.3">
      <c r="A104" s="5">
        <v>69</v>
      </c>
      <c r="B104" s="11">
        <v>8</v>
      </c>
      <c r="C104" s="11"/>
      <c r="D104" s="11">
        <v>8</v>
      </c>
    </row>
    <row r="105" spans="1:4" x14ac:dyDescent="0.3">
      <c r="A105" s="5">
        <v>70</v>
      </c>
      <c r="B105" s="11">
        <v>3</v>
      </c>
      <c r="C105" s="11">
        <v>1</v>
      </c>
      <c r="D105" s="11">
        <v>4</v>
      </c>
    </row>
    <row r="106" spans="1:4" x14ac:dyDescent="0.3">
      <c r="A106" s="5">
        <v>71</v>
      </c>
      <c r="B106" s="11">
        <v>1</v>
      </c>
      <c r="C106" s="11"/>
      <c r="D106" s="11">
        <v>1</v>
      </c>
    </row>
    <row r="107" spans="1:4" x14ac:dyDescent="0.3">
      <c r="A107" s="5">
        <v>72</v>
      </c>
      <c r="B107" s="11"/>
      <c r="C107" s="11">
        <v>1</v>
      </c>
      <c r="D107" s="11">
        <v>1</v>
      </c>
    </row>
    <row r="108" spans="1:4" x14ac:dyDescent="0.3">
      <c r="A108" s="5">
        <v>73</v>
      </c>
      <c r="B108" s="11">
        <v>2</v>
      </c>
      <c r="C108" s="11">
        <v>2</v>
      </c>
      <c r="D108" s="11">
        <v>4</v>
      </c>
    </row>
    <row r="109" spans="1:4" x14ac:dyDescent="0.3">
      <c r="A109" s="5">
        <v>74</v>
      </c>
      <c r="B109" s="11"/>
      <c r="C109" s="11">
        <v>1</v>
      </c>
      <c r="D109" s="11">
        <v>1</v>
      </c>
    </row>
    <row r="110" spans="1:4" x14ac:dyDescent="0.3">
      <c r="A110" s="5">
        <v>78</v>
      </c>
      <c r="B110" s="11">
        <v>1</v>
      </c>
      <c r="C110" s="11">
        <v>1</v>
      </c>
      <c r="D110" s="11">
        <v>2</v>
      </c>
    </row>
    <row r="111" spans="1:4" x14ac:dyDescent="0.3">
      <c r="A111" s="5">
        <v>80</v>
      </c>
      <c r="B111" s="11">
        <v>1</v>
      </c>
      <c r="C111" s="11"/>
      <c r="D111" s="11">
        <v>1</v>
      </c>
    </row>
    <row r="112" spans="1:4" x14ac:dyDescent="0.3">
      <c r="A112" s="5">
        <v>89</v>
      </c>
      <c r="B112" s="11">
        <v>1</v>
      </c>
      <c r="C112" s="11"/>
      <c r="D112" s="11">
        <v>1</v>
      </c>
    </row>
    <row r="113" spans="1:4" x14ac:dyDescent="0.3">
      <c r="A113" s="5" t="s">
        <v>42</v>
      </c>
      <c r="B113" s="11">
        <v>519</v>
      </c>
      <c r="C113" s="11">
        <v>481</v>
      </c>
      <c r="D113" s="11">
        <v>1000</v>
      </c>
    </row>
    <row r="115" spans="1:4" ht="23.4" x14ac:dyDescent="0.3">
      <c r="A115" s="9" t="s">
        <v>56</v>
      </c>
      <c r="B115" s="9"/>
      <c r="C115" s="9"/>
      <c r="D115" s="9"/>
    </row>
    <row r="117" spans="1:4" x14ac:dyDescent="0.3">
      <c r="A117" s="4" t="s">
        <v>41</v>
      </c>
      <c r="B117" t="s">
        <v>49</v>
      </c>
      <c r="C117" t="s">
        <v>43</v>
      </c>
    </row>
    <row r="118" spans="1:4" x14ac:dyDescent="0.3">
      <c r="A118" s="5" t="s">
        <v>18</v>
      </c>
      <c r="B118" s="11">
        <v>519</v>
      </c>
      <c r="C118" s="3">
        <v>54874.759152215796</v>
      </c>
    </row>
    <row r="119" spans="1:4" x14ac:dyDescent="0.3">
      <c r="A119" s="5" t="s">
        <v>15</v>
      </c>
      <c r="B119" s="11">
        <v>481</v>
      </c>
      <c r="C119" s="3">
        <v>57962.577962577961</v>
      </c>
    </row>
    <row r="120" spans="1:4" x14ac:dyDescent="0.3">
      <c r="A120" s="5" t="s">
        <v>42</v>
      </c>
      <c r="B120" s="11">
        <v>1000</v>
      </c>
      <c r="C120" s="3">
        <v>56360</v>
      </c>
    </row>
    <row r="122" spans="1:4" x14ac:dyDescent="0.3">
      <c r="A122" s="7" t="s">
        <v>50</v>
      </c>
      <c r="B122" s="7" t="s">
        <v>51</v>
      </c>
      <c r="C122" s="7" t="s">
        <v>53</v>
      </c>
      <c r="D122" s="7" t="s">
        <v>52</v>
      </c>
    </row>
    <row r="123" spans="1:4" x14ac:dyDescent="0.3">
      <c r="A123">
        <f>GETPIVOTDATA("Gender",$A$117)</f>
        <v>1000</v>
      </c>
      <c r="B123">
        <f>GETPIVOTDATA("Gender",$A$117,"Purchased Bike","Yes")</f>
        <v>481</v>
      </c>
      <c r="C123" s="12">
        <f>GETPIVOTDATA("Average of Income",$A$117)</f>
        <v>56360</v>
      </c>
      <c r="D123" s="10">
        <f>B123/A123</f>
        <v>0.48099999999999998</v>
      </c>
    </row>
  </sheetData>
  <mergeCells count="1">
    <mergeCell ref="A115:D115"/>
  </mergeCells>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B8091-A468-42BA-A204-2511D7ADFC62}">
  <dimension ref="A1:Q4"/>
  <sheetViews>
    <sheetView showGridLines="0" tabSelected="1" zoomScale="71" workbookViewId="0">
      <selection activeCell="S14" sqref="S14"/>
    </sheetView>
  </sheetViews>
  <sheetFormatPr defaultRowHeight="14.4" x14ac:dyDescent="0.3"/>
  <cols>
    <col min="15" max="15" width="8.88671875" customWidth="1"/>
    <col min="22" max="22" width="8.88671875" customWidth="1"/>
  </cols>
  <sheetData>
    <row r="1" spans="1:17" ht="14.4" customHeight="1" x14ac:dyDescent="0.3">
      <c r="A1" s="8" t="s">
        <v>48</v>
      </c>
      <c r="B1" s="8"/>
      <c r="C1" s="8"/>
      <c r="D1" s="8"/>
      <c r="E1" s="8"/>
      <c r="F1" s="8"/>
      <c r="G1" s="8"/>
      <c r="H1" s="8"/>
      <c r="I1" s="8"/>
      <c r="J1" s="8"/>
      <c r="K1" s="8"/>
      <c r="L1" s="8"/>
      <c r="M1" s="8"/>
      <c r="N1" s="8"/>
      <c r="O1" s="8"/>
      <c r="P1" s="8"/>
      <c r="Q1" s="8"/>
    </row>
    <row r="2" spans="1:17" ht="14.4" customHeight="1" x14ac:dyDescent="0.3">
      <c r="A2" s="8"/>
      <c r="B2" s="8"/>
      <c r="C2" s="8"/>
      <c r="D2" s="8"/>
      <c r="E2" s="8"/>
      <c r="F2" s="8"/>
      <c r="G2" s="8"/>
      <c r="H2" s="8"/>
      <c r="I2" s="8"/>
      <c r="J2" s="8"/>
      <c r="K2" s="8"/>
      <c r="L2" s="8"/>
      <c r="M2" s="8"/>
      <c r="N2" s="8"/>
      <c r="O2" s="8"/>
      <c r="P2" s="8"/>
      <c r="Q2" s="8"/>
    </row>
    <row r="3" spans="1:17" ht="14.4" customHeight="1" x14ac:dyDescent="0.3">
      <c r="A3" s="8"/>
      <c r="B3" s="8"/>
      <c r="C3" s="8"/>
      <c r="D3" s="8"/>
      <c r="E3" s="8"/>
      <c r="F3" s="8"/>
      <c r="G3" s="8"/>
      <c r="H3" s="8"/>
      <c r="I3" s="8"/>
      <c r="J3" s="8"/>
      <c r="K3" s="8"/>
      <c r="L3" s="8"/>
      <c r="M3" s="8"/>
      <c r="N3" s="8"/>
      <c r="O3" s="8"/>
      <c r="P3" s="8"/>
      <c r="Q3" s="8"/>
    </row>
    <row r="4" spans="1:17" ht="14.4" customHeight="1" x14ac:dyDescent="0.3">
      <c r="A4" s="8"/>
      <c r="B4" s="8"/>
      <c r="C4" s="8"/>
      <c r="D4" s="8"/>
      <c r="E4" s="8"/>
      <c r="F4" s="8"/>
      <c r="G4" s="8"/>
      <c r="H4" s="8"/>
      <c r="I4" s="8"/>
      <c r="J4" s="8"/>
      <c r="K4" s="8"/>
      <c r="L4" s="8"/>
      <c r="M4" s="8"/>
      <c r="N4" s="8"/>
      <c r="O4" s="8"/>
      <c r="P4" s="8"/>
      <c r="Q4" s="8"/>
    </row>
  </sheetData>
  <mergeCells count="1">
    <mergeCell ref="A1: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Shah Faiz</dc:creator>
  <cp:lastModifiedBy>Shah Faiz</cp:lastModifiedBy>
  <dcterms:created xsi:type="dcterms:W3CDTF">2022-03-18T02:50:57Z</dcterms:created>
  <dcterms:modified xsi:type="dcterms:W3CDTF">2026-07-20T12:30:51Z</dcterms:modified>
</cp:coreProperties>
</file>